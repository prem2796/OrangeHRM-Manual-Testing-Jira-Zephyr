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fb623756bf48933/Documents/OrangeHRM Manual Testing Project/Documentation/"/>
    </mc:Choice>
  </mc:AlternateContent>
  <xr:revisionPtr revIDLastSave="1" documentId="8_{574FD216-44C2-49A2-BF55-BFD7EDC706F5}" xr6:coauthVersionLast="47" xr6:coauthVersionMax="47" xr10:uidLastSave="{F6C4C4FF-BAD4-4765-9826-07C6E9BD2930}"/>
  <bookViews>
    <workbookView xWindow="-108" yWindow="-108" windowWidth="23256" windowHeight="13896" tabRatio="500" xr2:uid="{00000000-000D-0000-FFFF-FFFF00000000}"/>
  </bookViews>
  <sheets>
    <sheet name="RTM" sheetId="1" r:id="rId1"/>
  </sheets>
  <definedNames>
    <definedName name="_xlnm.Print_Area" localSheetId="0">RTM!$A$1:$G$29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1" l="1"/>
  <c r="B25" i="1"/>
  <c r="B29" i="1" s="1"/>
  <c r="B26" i="1"/>
  <c r="B24" i="1"/>
</calcChain>
</file>

<file path=xl/sharedStrings.xml><?xml version="1.0" encoding="utf-8"?>
<sst xmlns="http://schemas.openxmlformats.org/spreadsheetml/2006/main" count="129" uniqueCount="74">
  <si>
    <t>Requirement Traceability Matrix (RTM)</t>
  </si>
  <si>
    <t>Project: OrangeHRM Manual Testing using Jira &amp; Zephyr Scale  |  Application: OrangeHRM Demo Application</t>
  </si>
  <si>
    <t>Requirement ID</t>
  </si>
  <si>
    <t>Requirement Description</t>
  </si>
  <si>
    <t>Module</t>
  </si>
  <si>
    <t>Priority</t>
  </si>
  <si>
    <t>Test Case IDs</t>
  </si>
  <si>
    <t>Coverage Status</t>
  </si>
  <si>
    <t>Execution Status</t>
  </si>
  <si>
    <t>REQ-001</t>
  </si>
  <si>
    <t>User shall be able to log in to OrangeHRM with valid username and password</t>
  </si>
  <si>
    <t>Login</t>
  </si>
  <si>
    <t>High</t>
  </si>
  <si>
    <t>TC_LOGIN_001 - TC_LOGIN_005</t>
  </si>
  <si>
    <t>Covered</t>
  </si>
  <si>
    <t>Passed</t>
  </si>
  <si>
    <t>REQ-002</t>
  </si>
  <si>
    <t>System shall validate mandatory username and password fields on the login screen</t>
  </si>
  <si>
    <t>TC_LOGIN_006 - TC_LOGIN_010</t>
  </si>
  <si>
    <t>REQ-003</t>
  </si>
  <si>
    <t>System shall restrict access after repeated invalid login attempts</t>
  </si>
  <si>
    <t>TC_LOGIN_011 - TC_LOGIN_015</t>
  </si>
  <si>
    <t>Partially Failed</t>
  </si>
  <si>
    <t>REQ-004</t>
  </si>
  <si>
    <t>System shall correctly validate login field input, including leading/trailing spaces and special characters</t>
  </si>
  <si>
    <t>Medium</t>
  </si>
  <si>
    <t>TC_LOGIN_016 - TC_LOGIN_020</t>
  </si>
  <si>
    <t>REQ-005</t>
  </si>
  <si>
    <t>Dashboard shall display all relevant widgets immediately after successful login</t>
  </si>
  <si>
    <t>Dashboard</t>
  </si>
  <si>
    <t>TC_DASH_001 - TC_DASH_006</t>
  </si>
  <si>
    <t>REQ-006</t>
  </si>
  <si>
    <t>Dashboard navigation menu shall allow access to all authorized modules</t>
  </si>
  <si>
    <t>TC_DASH_007 - TC_DASH_012</t>
  </si>
  <si>
    <t>REQ-007</t>
  </si>
  <si>
    <t>Dashboard widgets shall load within an acceptable response time</t>
  </si>
  <si>
    <t>TC_DASH_013 - TC_DASH_016</t>
  </si>
  <si>
    <t>REQ-008</t>
  </si>
  <si>
    <t>Dashboard layout shall render correctly without overlapping UI elements</t>
  </si>
  <si>
    <t>TC_DASH_017 - TC_DASH_020</t>
  </si>
  <si>
    <t>REQ-009</t>
  </si>
  <si>
    <t>User shall be able to add a new employee record with mandatory details</t>
  </si>
  <si>
    <t>Employee</t>
  </si>
  <si>
    <t>TC_EMP_001 - TC_EMP_006</t>
  </si>
  <si>
    <t>REQ-010</t>
  </si>
  <si>
    <t>System shall enforce uniqueness of Employee ID across all employee records</t>
  </si>
  <si>
    <t>TC_EMP_007 - TC_EMP_010</t>
  </si>
  <si>
    <t>REQ-011</t>
  </si>
  <si>
    <t>System shall validate Employee Name field and reject invalid special characters</t>
  </si>
  <si>
    <t>TC_EMP_011 - TC_EMP_014</t>
  </si>
  <si>
    <t>REQ-012</t>
  </si>
  <si>
    <t>User shall be able to search, edit, and delete existing employee records</t>
  </si>
  <si>
    <t>TC_EMP_015 - TC_EMP_020</t>
  </si>
  <si>
    <t>REQ-013</t>
  </si>
  <si>
    <t>User shall be able to submit a leave application for an eligible leave type</t>
  </si>
  <si>
    <t>Leave</t>
  </si>
  <si>
    <t>TC_LEAVE_001 - TC_LEAVE_006</t>
  </si>
  <si>
    <t>REQ-014</t>
  </si>
  <si>
    <t>System shall validate available leave balance before approving a leave request</t>
  </si>
  <si>
    <t>TC_LEAVE_007 - TC_LEAVE_010</t>
  </si>
  <si>
    <t>REQ-015</t>
  </si>
  <si>
    <t>System shall validate leave date range and reject invalid or overlapping dates</t>
  </si>
  <si>
    <t>TC_LEAVE_011 - TC_LEAVE_014</t>
  </si>
  <si>
    <t>REQ-016</t>
  </si>
  <si>
    <t>Leave status shall update correctly and reflect accurately after approval or rejection</t>
  </si>
  <si>
    <t>TC_LEAVE_015 - TC_LEAVE_020</t>
  </si>
  <si>
    <t>Summary</t>
  </si>
  <si>
    <t>Total Requirements</t>
  </si>
  <si>
    <t>Requirements Covered</t>
  </si>
  <si>
    <t>Requirements Fully Passed</t>
  </si>
  <si>
    <t>Requirements with Failures</t>
  </si>
  <si>
    <t>Total Test Cases Mapped</t>
  </si>
  <si>
    <t>Requirement Coverage %</t>
  </si>
  <si>
    <t>Prepared By: Prem  |  Tool: Jira + Zephyr Scale  |  Date: 09-Jul-2026  |  Version: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</si>
</sst>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1F3864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  <font>
      <b/>
      <sz val="10"/>
      <color rgb="FF9C65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B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0" xfId="0" applyFont="1"/>
    <xf numFmtId="9" fontId="5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tabSelected="1" zoomScaleNormal="100" workbookViewId="0">
      <pane ySplit="5" topLeftCell="A19" activePane="bottomLeft" state="frozen"/>
      <selection pane="bottomLeft" activeCell="B28" sqref="B28"/>
    </sheetView>
  </sheetViews>
  <sheetFormatPr defaultColWidth="8.6640625" defaultRowHeight="14.4" x14ac:dyDescent="0.3"/>
  <cols>
    <col min="1" max="1" width="14" customWidth="1"/>
    <col min="2" max="2" width="52" customWidth="1"/>
    <col min="3" max="3" width="12" customWidth="1"/>
    <col min="4" max="4" width="10" customWidth="1"/>
    <col min="5" max="5" width="24" customWidth="1"/>
    <col min="6" max="6" width="14" customWidth="1"/>
    <col min="7" max="7" width="16" customWidth="1"/>
  </cols>
  <sheetData>
    <row r="1" spans="1:7" ht="25.5" customHeight="1" x14ac:dyDescent="0.3">
      <c r="A1" s="11" t="s">
        <v>0</v>
      </c>
      <c r="B1" s="11"/>
      <c r="C1" s="11"/>
      <c r="D1" s="11"/>
      <c r="E1" s="11"/>
      <c r="F1" s="11"/>
      <c r="G1" s="11"/>
    </row>
    <row r="2" spans="1:7" ht="18" customHeight="1" x14ac:dyDescent="0.3">
      <c r="A2" s="12" t="s">
        <v>1</v>
      </c>
      <c r="B2" s="12"/>
      <c r="C2" s="12"/>
      <c r="D2" s="12"/>
      <c r="E2" s="12"/>
      <c r="F2" s="12"/>
      <c r="G2" s="12"/>
    </row>
    <row r="3" spans="1:7" ht="15.75" customHeight="1" x14ac:dyDescent="0.3">
      <c r="A3" s="13" t="s">
        <v>73</v>
      </c>
      <c r="B3" s="13"/>
      <c r="C3" s="13"/>
      <c r="D3" s="13"/>
      <c r="E3" s="13"/>
      <c r="F3" s="13"/>
      <c r="G3" s="13"/>
    </row>
    <row r="5" spans="1:7" ht="31.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ht="30" customHeight="1" x14ac:dyDescent="0.3">
      <c r="A6" s="2" t="s">
        <v>9</v>
      </c>
      <c r="B6" s="3" t="s">
        <v>10</v>
      </c>
      <c r="C6" s="2" t="s">
        <v>11</v>
      </c>
      <c r="D6" s="2" t="s">
        <v>12</v>
      </c>
      <c r="E6" s="2" t="s">
        <v>13</v>
      </c>
      <c r="F6" s="4" t="s">
        <v>14</v>
      </c>
      <c r="G6" s="4" t="s">
        <v>15</v>
      </c>
    </row>
    <row r="7" spans="1:7" ht="30" customHeight="1" x14ac:dyDescent="0.3">
      <c r="A7" s="5" t="s">
        <v>16</v>
      </c>
      <c r="B7" s="6" t="s">
        <v>17</v>
      </c>
      <c r="C7" s="5" t="s">
        <v>11</v>
      </c>
      <c r="D7" s="5" t="s">
        <v>12</v>
      </c>
      <c r="E7" s="5" t="s">
        <v>18</v>
      </c>
      <c r="F7" s="4" t="s">
        <v>14</v>
      </c>
      <c r="G7" s="4" t="s">
        <v>15</v>
      </c>
    </row>
    <row r="8" spans="1:7" ht="30" customHeight="1" x14ac:dyDescent="0.3">
      <c r="A8" s="2" t="s">
        <v>19</v>
      </c>
      <c r="B8" s="3" t="s">
        <v>20</v>
      </c>
      <c r="C8" s="2" t="s">
        <v>11</v>
      </c>
      <c r="D8" s="2" t="s">
        <v>12</v>
      </c>
      <c r="E8" s="2" t="s">
        <v>21</v>
      </c>
      <c r="F8" s="4" t="s">
        <v>14</v>
      </c>
      <c r="G8" s="7" t="s">
        <v>22</v>
      </c>
    </row>
    <row r="9" spans="1:7" ht="30" customHeight="1" x14ac:dyDescent="0.3">
      <c r="A9" s="5" t="s">
        <v>23</v>
      </c>
      <c r="B9" s="6" t="s">
        <v>24</v>
      </c>
      <c r="C9" s="5" t="s">
        <v>11</v>
      </c>
      <c r="D9" s="5" t="s">
        <v>25</v>
      </c>
      <c r="E9" s="5" t="s">
        <v>26</v>
      </c>
      <c r="F9" s="4" t="s">
        <v>14</v>
      </c>
      <c r="G9" s="7" t="s">
        <v>22</v>
      </c>
    </row>
    <row r="10" spans="1:7" ht="30" customHeight="1" x14ac:dyDescent="0.3">
      <c r="A10" s="2" t="s">
        <v>27</v>
      </c>
      <c r="B10" s="3" t="s">
        <v>28</v>
      </c>
      <c r="C10" s="2" t="s">
        <v>29</v>
      </c>
      <c r="D10" s="2" t="s">
        <v>12</v>
      </c>
      <c r="E10" s="2" t="s">
        <v>30</v>
      </c>
      <c r="F10" s="4" t="s">
        <v>14</v>
      </c>
      <c r="G10" s="4" t="s">
        <v>15</v>
      </c>
    </row>
    <row r="11" spans="1:7" ht="30" customHeight="1" x14ac:dyDescent="0.3">
      <c r="A11" s="5" t="s">
        <v>31</v>
      </c>
      <c r="B11" s="6" t="s">
        <v>32</v>
      </c>
      <c r="C11" s="5" t="s">
        <v>29</v>
      </c>
      <c r="D11" s="5" t="s">
        <v>12</v>
      </c>
      <c r="E11" s="5" t="s">
        <v>33</v>
      </c>
      <c r="F11" s="4" t="s">
        <v>14</v>
      </c>
      <c r="G11" s="4" t="s">
        <v>15</v>
      </c>
    </row>
    <row r="12" spans="1:7" ht="30" customHeight="1" x14ac:dyDescent="0.3">
      <c r="A12" s="2" t="s">
        <v>34</v>
      </c>
      <c r="B12" s="3" t="s">
        <v>35</v>
      </c>
      <c r="C12" s="2" t="s">
        <v>29</v>
      </c>
      <c r="D12" s="2" t="s">
        <v>25</v>
      </c>
      <c r="E12" s="2" t="s">
        <v>36</v>
      </c>
      <c r="F12" s="4" t="s">
        <v>14</v>
      </c>
      <c r="G12" s="7" t="s">
        <v>22</v>
      </c>
    </row>
    <row r="13" spans="1:7" ht="30" customHeight="1" x14ac:dyDescent="0.3">
      <c r="A13" s="5" t="s">
        <v>37</v>
      </c>
      <c r="B13" s="6" t="s">
        <v>38</v>
      </c>
      <c r="C13" s="5" t="s">
        <v>29</v>
      </c>
      <c r="D13" s="5" t="s">
        <v>25</v>
      </c>
      <c r="E13" s="5" t="s">
        <v>39</v>
      </c>
      <c r="F13" s="4" t="s">
        <v>14</v>
      </c>
      <c r="G13" s="7" t="s">
        <v>22</v>
      </c>
    </row>
    <row r="14" spans="1:7" ht="30" customHeight="1" x14ac:dyDescent="0.3">
      <c r="A14" s="2" t="s">
        <v>40</v>
      </c>
      <c r="B14" s="3" t="s">
        <v>41</v>
      </c>
      <c r="C14" s="2" t="s">
        <v>42</v>
      </c>
      <c r="D14" s="2" t="s">
        <v>12</v>
      </c>
      <c r="E14" s="2" t="s">
        <v>43</v>
      </c>
      <c r="F14" s="4" t="s">
        <v>14</v>
      </c>
      <c r="G14" s="4" t="s">
        <v>15</v>
      </c>
    </row>
    <row r="15" spans="1:7" ht="30" customHeight="1" x14ac:dyDescent="0.3">
      <c r="A15" s="5" t="s">
        <v>44</v>
      </c>
      <c r="B15" s="6" t="s">
        <v>45</v>
      </c>
      <c r="C15" s="5" t="s">
        <v>42</v>
      </c>
      <c r="D15" s="5" t="s">
        <v>12</v>
      </c>
      <c r="E15" s="5" t="s">
        <v>46</v>
      </c>
      <c r="F15" s="4" t="s">
        <v>14</v>
      </c>
      <c r="G15" s="7" t="s">
        <v>22</v>
      </c>
    </row>
    <row r="16" spans="1:7" ht="30" customHeight="1" x14ac:dyDescent="0.3">
      <c r="A16" s="2" t="s">
        <v>47</v>
      </c>
      <c r="B16" s="3" t="s">
        <v>48</v>
      </c>
      <c r="C16" s="2" t="s">
        <v>42</v>
      </c>
      <c r="D16" s="2" t="s">
        <v>25</v>
      </c>
      <c r="E16" s="2" t="s">
        <v>49</v>
      </c>
      <c r="F16" s="4" t="s">
        <v>14</v>
      </c>
      <c r="G16" s="7" t="s">
        <v>22</v>
      </c>
    </row>
    <row r="17" spans="1:7" ht="30" customHeight="1" x14ac:dyDescent="0.3">
      <c r="A17" s="5" t="s">
        <v>50</v>
      </c>
      <c r="B17" s="6" t="s">
        <v>51</v>
      </c>
      <c r="C17" s="5" t="s">
        <v>42</v>
      </c>
      <c r="D17" s="5" t="s">
        <v>25</v>
      </c>
      <c r="E17" s="5" t="s">
        <v>52</v>
      </c>
      <c r="F17" s="4" t="s">
        <v>14</v>
      </c>
      <c r="G17" s="4" t="s">
        <v>15</v>
      </c>
    </row>
    <row r="18" spans="1:7" ht="30" customHeight="1" x14ac:dyDescent="0.3">
      <c r="A18" s="2" t="s">
        <v>53</v>
      </c>
      <c r="B18" s="3" t="s">
        <v>54</v>
      </c>
      <c r="C18" s="2" t="s">
        <v>55</v>
      </c>
      <c r="D18" s="2" t="s">
        <v>12</v>
      </c>
      <c r="E18" s="2" t="s">
        <v>56</v>
      </c>
      <c r="F18" s="4" t="s">
        <v>14</v>
      </c>
      <c r="G18" s="4" t="s">
        <v>15</v>
      </c>
    </row>
    <row r="19" spans="1:7" ht="30" customHeight="1" x14ac:dyDescent="0.3">
      <c r="A19" s="5" t="s">
        <v>57</v>
      </c>
      <c r="B19" s="6" t="s">
        <v>58</v>
      </c>
      <c r="C19" s="5" t="s">
        <v>55</v>
      </c>
      <c r="D19" s="5" t="s">
        <v>12</v>
      </c>
      <c r="E19" s="5" t="s">
        <v>59</v>
      </c>
      <c r="F19" s="4" t="s">
        <v>14</v>
      </c>
      <c r="G19" s="7" t="s">
        <v>22</v>
      </c>
    </row>
    <row r="20" spans="1:7" ht="30" customHeight="1" x14ac:dyDescent="0.3">
      <c r="A20" s="2" t="s">
        <v>60</v>
      </c>
      <c r="B20" s="3" t="s">
        <v>61</v>
      </c>
      <c r="C20" s="2" t="s">
        <v>55</v>
      </c>
      <c r="D20" s="2" t="s">
        <v>25</v>
      </c>
      <c r="E20" s="2" t="s">
        <v>62</v>
      </c>
      <c r="F20" s="4" t="s">
        <v>14</v>
      </c>
      <c r="G20" s="7" t="s">
        <v>22</v>
      </c>
    </row>
    <row r="21" spans="1:7" ht="30" customHeight="1" x14ac:dyDescent="0.3">
      <c r="A21" s="5" t="s">
        <v>63</v>
      </c>
      <c r="B21" s="6" t="s">
        <v>64</v>
      </c>
      <c r="C21" s="5" t="s">
        <v>55</v>
      </c>
      <c r="D21" s="5" t="s">
        <v>12</v>
      </c>
      <c r="E21" s="5" t="s">
        <v>65</v>
      </c>
      <c r="F21" s="4" t="s">
        <v>14</v>
      </c>
      <c r="G21" s="7" t="s">
        <v>22</v>
      </c>
    </row>
    <row r="23" spans="1:7" ht="19.5" customHeight="1" x14ac:dyDescent="0.3">
      <c r="A23" s="14" t="s">
        <v>66</v>
      </c>
      <c r="B23" s="14"/>
      <c r="C23" s="14"/>
      <c r="D23" s="14"/>
      <c r="E23" s="14"/>
      <c r="F23" s="14"/>
      <c r="G23" s="14"/>
    </row>
    <row r="24" spans="1:7" x14ac:dyDescent="0.3">
      <c r="A24" s="8" t="s">
        <v>67</v>
      </c>
      <c r="B24" s="9">
        <f>COUNTA(A6:A21)</f>
        <v>16</v>
      </c>
    </row>
    <row r="25" spans="1:7" x14ac:dyDescent="0.3">
      <c r="A25" s="8" t="s">
        <v>68</v>
      </c>
      <c r="B25" s="9">
        <f>COUNTIF(F6:F21,"Covered")</f>
        <v>16</v>
      </c>
    </row>
    <row r="26" spans="1:7" x14ac:dyDescent="0.3">
      <c r="A26" s="8" t="s">
        <v>69</v>
      </c>
      <c r="B26" s="9">
        <f>COUNTIF(G6:G21,"Passed")</f>
        <v>7</v>
      </c>
    </row>
    <row r="27" spans="1:7" x14ac:dyDescent="0.3">
      <c r="A27" s="8" t="s">
        <v>70</v>
      </c>
      <c r="B27" s="9">
        <f>COUNTIF(G6:G21,"Partially Failed")</f>
        <v>9</v>
      </c>
    </row>
    <row r="28" spans="1:7" x14ac:dyDescent="0.3">
      <c r="A28" s="8" t="s">
        <v>71</v>
      </c>
      <c r="B28" s="9">
        <v>80</v>
      </c>
    </row>
    <row r="29" spans="1:7" x14ac:dyDescent="0.3">
      <c r="A29" s="8" t="s">
        <v>72</v>
      </c>
      <c r="B29" s="10">
        <f>B25/B24</f>
        <v>1</v>
      </c>
    </row>
  </sheetData>
  <mergeCells count="4">
    <mergeCell ref="A1:G1"/>
    <mergeCell ref="A2:G2"/>
    <mergeCell ref="A3:G3"/>
    <mergeCell ref="A23:G23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RTM</vt:lpstr>
      <vt:lpstr>RTM!Print_Area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Prem kumar</cp:lastModifiedBy>
  <cp:revision>0</cp:revision>
  <dcterms:created xsi:type="dcterms:W3CDTF">2026-07-09T10:57:49Z</dcterms:created>
  <dcterms:modified xsi:type="dcterms:W3CDTF">2026-07-09T12:09:34Z</dcterms:modified>
  <dc:language>en-US</dc:language>
</cp:coreProperties>
</file>